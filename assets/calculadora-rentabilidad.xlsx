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culadora Airbnb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0.0"/>
  </numFmts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FF6B6355"/>
      <sz val="9"/>
    </font>
    <font>
      <name val="Arial"/>
      <b val="1"/>
    </font>
    <font>
      <name val="Arial"/>
    </font>
  </fonts>
  <fills count="7">
    <fill>
      <patternFill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93C47D"/>
        <bgColor rgb="FF93C47D"/>
      </patternFill>
    </fill>
    <fill>
      <patternFill patternType="solid">
        <fgColor rgb="FFEAEAEA"/>
        <bgColor rgb="FFEAEA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4" fillId="3" borderId="0" pivotButton="0" quotePrefix="0" xfId="0"/>
    <xf numFmtId="164" fontId="4" fillId="2" borderId="0" pivotButton="0" quotePrefix="0" xfId="0"/>
    <xf numFmtId="9" fontId="4" fillId="0" borderId="0" pivotButton="0" quotePrefix="0" xfId="0"/>
    <xf numFmtId="0" fontId="4" fillId="3" borderId="0" pivotButton="0" quotePrefix="0" xfId="0"/>
    <xf numFmtId="0" fontId="4" fillId="2" borderId="0" pivotButton="0" quotePrefix="0" xfId="0"/>
    <xf numFmtId="9" fontId="4" fillId="3" borderId="0" pivotButton="0" quotePrefix="0" xfId="0"/>
    <xf numFmtId="9" fontId="4" fillId="2" borderId="0" pivotButton="0" quotePrefix="0" xfId="0"/>
    <xf numFmtId="2" fontId="4" fillId="3" borderId="0" pivotButton="0" quotePrefix="0" xfId="0"/>
    <xf numFmtId="164" fontId="4" fillId="4" borderId="0" pivotButton="0" quotePrefix="0" xfId="0"/>
    <xf numFmtId="164" fontId="3" fillId="5" borderId="0" pivotButton="0" quotePrefix="0" xfId="0"/>
    <xf numFmtId="164" fontId="3" fillId="2" borderId="0" pivotButton="0" quotePrefix="0" xfId="0"/>
    <xf numFmtId="10" fontId="4" fillId="0" borderId="0" pivotButton="0" quotePrefix="0" xfId="0"/>
    <xf numFmtId="0" fontId="3" fillId="6" borderId="0" applyAlignment="1" pivotButton="0" quotePrefix="0" xfId="0">
      <alignment horizontal="center"/>
    </xf>
    <xf numFmtId="9" fontId="4" fillId="0" borderId="0" applyAlignment="1" pivotButton="0" quotePrefix="0" xfId="0">
      <alignment horizontal="center"/>
    </xf>
    <xf numFmtId="165" fontId="4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3" customWidth="1" min="4" max="4"/>
    <col width="13" customWidth="1" min="5" max="5"/>
    <col width="10" customWidth="1" min="6" max="6"/>
    <col width="26" customWidth="1" min="7" max="7"/>
  </cols>
  <sheetData>
    <row r="1">
      <c r="A1" s="1" t="inlineStr">
        <is>
          <t>CALCULADORA EXPRESS - ARBITRAJE AIRBNB</t>
        </is>
      </c>
    </row>
    <row r="2">
      <c r="A2" s="2" t="inlineStr">
        <is>
          <t>Llena solo las celdas en verde. Todo lo demás se calcula solo.</t>
        </is>
      </c>
    </row>
    <row r="4">
      <c r="A4" s="3" t="inlineStr">
        <is>
          <t>INGRESA LOS DATOS:</t>
        </is>
      </c>
    </row>
    <row r="5">
      <c r="B5" s="3" t="inlineStr">
        <is>
          <t>MXN</t>
        </is>
      </c>
      <c r="C5" s="4" t="inlineStr">
        <is>
          <t>DÓLARES</t>
        </is>
      </c>
    </row>
    <row r="6">
      <c r="A6" s="5" t="inlineStr">
        <is>
          <t>Renta mensual</t>
        </is>
      </c>
      <c r="B6" s="6" t="n">
        <v>18000</v>
      </c>
      <c r="C6" s="7">
        <f>B6/$B$21</f>
        <v/>
      </c>
      <c r="E6" s="5" t="inlineStr">
        <is>
          <t>Pesimista</t>
        </is>
      </c>
      <c r="F6" s="8" t="n">
        <v>0.45</v>
      </c>
      <c r="G6" s="2" t="inlineStr">
        <is>
          <t>Apenas cubres gastos</t>
        </is>
      </c>
    </row>
    <row r="7">
      <c r="A7" s="5" t="inlineStr">
        <is>
          <t>Servicios mensuales (luz, agua, internet)</t>
        </is>
      </c>
      <c r="B7" s="6" t="n">
        <v>1100</v>
      </c>
      <c r="C7" s="7">
        <f>B7/$B$21</f>
        <v/>
      </c>
      <c r="E7" s="5" t="inlineStr">
        <is>
          <t>Conservador</t>
        </is>
      </c>
      <c r="F7" s="8" t="n">
        <v>0.65</v>
      </c>
      <c r="G7" s="2" t="inlineStr">
        <is>
          <t>Margen saludable</t>
        </is>
      </c>
    </row>
    <row r="8">
      <c r="A8" s="5" t="inlineStr">
        <is>
          <t>Costo limpieza por estancia</t>
        </is>
      </c>
      <c r="B8" s="6" t="n">
        <v>350</v>
      </c>
      <c r="C8" s="7">
        <f>B8/$B$21</f>
        <v/>
      </c>
      <c r="E8" s="5" t="inlineStr">
        <is>
          <t>Optimista</t>
        </is>
      </c>
      <c r="F8" s="8" t="n">
        <v>0.85</v>
      </c>
      <c r="G8" s="2" t="inlineStr">
        <is>
          <t>Recuperación rápida de inversión</t>
        </is>
      </c>
    </row>
    <row r="9">
      <c r="A9" s="5" t="inlineStr">
        <is>
          <t>Reservas estimadas al mes</t>
        </is>
      </c>
      <c r="B9" s="9" t="n">
        <v>8</v>
      </c>
      <c r="C9" s="10">
        <f>B9</f>
        <v/>
      </c>
    </row>
    <row r="10">
      <c r="A10" s="5" t="inlineStr">
        <is>
          <t>Otros gastos</t>
        </is>
      </c>
      <c r="B10" s="6" t="n">
        <v>3000</v>
      </c>
      <c r="C10" s="7">
        <f>B10/$B$21</f>
        <v/>
      </c>
    </row>
    <row r="11">
      <c r="A11" s="5" t="inlineStr">
        <is>
          <t>Precio promedio por noche</t>
        </is>
      </c>
      <c r="B11" s="6" t="n">
        <v>1500</v>
      </c>
      <c r="C11" s="7">
        <f>B11/$B$21</f>
        <v/>
      </c>
    </row>
    <row r="12">
      <c r="A12" s="5" t="inlineStr">
        <is>
          <t>Ocupación promedio (%)</t>
        </is>
      </c>
      <c r="B12" s="11" t="n">
        <v>0.85</v>
      </c>
      <c r="C12" s="12">
        <f>B12</f>
        <v/>
      </c>
    </row>
    <row r="21">
      <c r="A21" s="5" t="inlineStr">
        <is>
          <t>Tipo de cambio (MXN por USD)</t>
        </is>
      </c>
      <c r="B21" s="13" t="n">
        <v>17.3</v>
      </c>
    </row>
    <row r="22">
      <c r="A22" s="5" t="inlineStr">
        <is>
          <t>Comisión Airbnb (%)</t>
        </is>
      </c>
      <c r="B22" s="11" t="n">
        <v>0.1</v>
      </c>
    </row>
    <row r="24">
      <c r="A24" s="3" t="inlineStr">
        <is>
          <t>RESULTADOS (con la ocupación que pusiste arriba):</t>
        </is>
      </c>
    </row>
    <row r="25">
      <c r="A25" s="5" t="inlineStr">
        <is>
          <t>Ingreso mensual estimado</t>
        </is>
      </c>
      <c r="B25" s="14">
        <f>B11*30.4167*B12</f>
        <v/>
      </c>
      <c r="C25" s="7">
        <f>B25/$B$21</f>
        <v/>
      </c>
    </row>
    <row r="26">
      <c r="A26" s="5" t="inlineStr">
        <is>
          <t>Comisión Airbnb</t>
        </is>
      </c>
      <c r="B26" s="14">
        <f>B25*$B$22</f>
        <v/>
      </c>
      <c r="C26" s="7">
        <f>B26/$B$21</f>
        <v/>
      </c>
    </row>
    <row r="27">
      <c r="A27" s="5" t="inlineStr">
        <is>
          <t>Gasto total limpieza</t>
        </is>
      </c>
      <c r="B27" s="14">
        <f>B8*B9</f>
        <v/>
      </c>
      <c r="C27" s="7">
        <f>B27/$B$21</f>
        <v/>
      </c>
    </row>
    <row r="28">
      <c r="A28" s="5" t="inlineStr">
        <is>
          <t>Gastos totales</t>
        </is>
      </c>
      <c r="B28" s="14">
        <f>B27+B10+B7+B6+B26</f>
        <v/>
      </c>
      <c r="C28" s="7">
        <f>B28/$B$21</f>
        <v/>
      </c>
    </row>
    <row r="30">
      <c r="A30" s="3" t="inlineStr">
        <is>
          <t>UTILIDAD MENSUAL ESTIMADA</t>
        </is>
      </c>
      <c r="B30" s="15">
        <f>B25-B28</f>
        <v/>
      </c>
      <c r="C30" s="16">
        <f>B30/$B$21</f>
        <v/>
      </c>
    </row>
    <row r="31">
      <c r="A31" s="5" t="inlineStr">
        <is>
          <t>Margen sobre renta</t>
        </is>
      </c>
      <c r="B31" s="17">
        <f>IFERROR(B30/B6,0)</f>
        <v/>
      </c>
      <c r="C31" s="17">
        <f>IFERROR(C30/C6,0)</f>
        <v/>
      </c>
    </row>
    <row r="33">
      <c r="A33" s="2" t="inlineStr">
        <is>
          <t>Si te da 70% o más → es un modelo excelente.</t>
        </is>
      </c>
    </row>
    <row r="34">
      <c r="A34" s="2" t="inlineStr">
        <is>
          <t>Si te da menos de 30% → es débil.</t>
        </is>
      </c>
    </row>
    <row r="37">
      <c r="A37" s="3" t="inlineStr">
        <is>
          <t>COMPARA LOS 3 ESCENARIOS</t>
        </is>
      </c>
    </row>
    <row r="38">
      <c r="A38" s="2" t="inlineStr">
        <is>
          <t>Mismo depa, misma renta — solo cambia cuánto se ocupa. Corre los 3 antes de decidir.</t>
        </is>
      </c>
    </row>
    <row r="40">
      <c r="B40" s="18" t="inlineStr"/>
      <c r="C40" s="18" t="inlineStr">
        <is>
          <t>Pesimista</t>
        </is>
      </c>
      <c r="D40" s="18" t="inlineStr">
        <is>
          <t>Conservador</t>
        </is>
      </c>
      <c r="E40" s="18" t="inlineStr">
        <is>
          <t>Optimista</t>
        </is>
      </c>
    </row>
    <row r="41">
      <c r="B41" s="5" t="inlineStr">
        <is>
          <t>Ocupación</t>
        </is>
      </c>
      <c r="C41" s="19">
        <f>F6</f>
        <v/>
      </c>
      <c r="D41" s="19">
        <f>F7</f>
        <v/>
      </c>
      <c r="E41" s="19">
        <f>F8</f>
        <v/>
      </c>
    </row>
    <row r="42">
      <c r="B42" s="5" t="inlineStr">
        <is>
          <t>Ingreso mensual estimado</t>
        </is>
      </c>
      <c r="C42" s="14">
        <f>$B$11*30.4167*F6</f>
        <v/>
      </c>
      <c r="D42" s="14">
        <f>$B$11*30.4167*F7</f>
        <v/>
      </c>
      <c r="E42" s="14">
        <f>$B$11*30.4167*F8</f>
        <v/>
      </c>
    </row>
    <row r="43">
      <c r="B43" s="5" t="inlineStr">
        <is>
          <t>Reservas estimadas (escala con ocupación)</t>
        </is>
      </c>
      <c r="C43" s="20">
        <f>IFERROR($B$9*(F6/$B$12),0)</f>
        <v/>
      </c>
      <c r="D43" s="20">
        <f>IFERROR($B$9*(F7/$B$12),0)</f>
        <v/>
      </c>
      <c r="E43" s="20">
        <f>IFERROR($B$9*(F8/$B$12),0)</f>
        <v/>
      </c>
    </row>
    <row r="44">
      <c r="B44" s="5" t="inlineStr">
        <is>
          <t>Comisión Airbnb</t>
        </is>
      </c>
      <c r="C44" s="14">
        <f>C42*$B$22</f>
        <v/>
      </c>
      <c r="D44" s="14">
        <f>D42*$B$22</f>
        <v/>
      </c>
      <c r="E44" s="14">
        <f>E42*$B$22</f>
        <v/>
      </c>
    </row>
    <row r="45">
      <c r="B45" s="5" t="inlineStr">
        <is>
          <t>Gasto total limpieza</t>
        </is>
      </c>
      <c r="C45" s="14">
        <f>$B$8*C43</f>
        <v/>
      </c>
      <c r="D45" s="14">
        <f>$B$8*D43</f>
        <v/>
      </c>
      <c r="E45" s="14">
        <f>$B$8*E43</f>
        <v/>
      </c>
    </row>
    <row r="46">
      <c r="B46" s="5" t="inlineStr">
        <is>
          <t>Gastos totales</t>
        </is>
      </c>
      <c r="C46" s="14">
        <f>C45+$B$10+$B$7+$B$6+C44</f>
        <v/>
      </c>
      <c r="D46" s="14">
        <f>D45+$B$10+$B$7+$B$6+D44</f>
        <v/>
      </c>
      <c r="E46" s="14">
        <f>E45+$B$10+$B$7+$B$6+E44</f>
        <v/>
      </c>
    </row>
    <row r="47">
      <c r="B47" s="3" t="inlineStr">
        <is>
          <t>UTILIDAD MENSUAL</t>
        </is>
      </c>
      <c r="C47" s="15">
        <f>C42-C46</f>
        <v/>
      </c>
      <c r="D47" s="15">
        <f>D42-D46</f>
        <v/>
      </c>
      <c r="E47" s="15">
        <f>E42-E46</f>
        <v/>
      </c>
    </row>
    <row r="48">
      <c r="B48" s="5" t="inlineStr">
        <is>
          <t>Margen sobre renta</t>
        </is>
      </c>
      <c r="C48" s="17">
        <f>IFERROR(C47/$B$6,0)</f>
        <v/>
      </c>
      <c r="D48" s="17">
        <f>IFERROR(D47/$B$6,0)</f>
        <v/>
      </c>
      <c r="E48" s="17">
        <f>IFERROR(E47/$B$6,0)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2026-08-07T04:27:21Z</dcterms:created>
  <dcterms:modified xmlns:dcterms="http://purl.org/dc/terms/" xmlns:xsi="http://www.w3.org/2001/XMLSchema-instance" xsi:type="dcterms:W3CDTF">2026-08-07T04:27:21Z</dcterms:modified>
</cp:coreProperties>
</file>