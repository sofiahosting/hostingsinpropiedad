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 Airbn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F5EFE4"/>
      <sz val="10"/>
    </font>
    <font>
      <name val="Arial"/>
      <i val="1"/>
      <color rgb="FF6B6355"/>
      <sz val="9"/>
    </font>
    <font>
      <name val="Arial"/>
      <b val="1"/>
      <color rgb="FF234B6B"/>
      <sz val="11"/>
    </font>
    <font>
      <name val="Arial"/>
      <b val="1"/>
    </font>
    <font>
      <name val="Arial"/>
    </font>
    <font>
      <name val="Arial"/>
      <color rgb="FFF5EFE4"/>
      <sz val="9"/>
    </font>
  </fonts>
  <fills count="9">
    <fill>
      <patternFill/>
    </fill>
    <fill>
      <patternFill patternType="gray125"/>
    </fill>
    <fill>
      <patternFill patternType="solid">
        <fgColor rgb="FF234B6B"/>
        <bgColor rgb="FF234B6B"/>
      </patternFill>
    </fill>
    <fill>
      <patternFill patternType="solid">
        <fgColor rgb="FFC8A96E"/>
        <bgColor rgb="FFC8A96E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  <xf numFmtId="164" fontId="6" fillId="5" borderId="0" pivotButton="0" quotePrefix="0" xfId="0"/>
    <xf numFmtId="164" fontId="6" fillId="4" borderId="0" pivotButton="0" quotePrefix="0" xfId="0"/>
    <xf numFmtId="9" fontId="6" fillId="0" borderId="0" pivotButton="0" quotePrefix="0" xfId="0"/>
    <xf numFmtId="165" fontId="6" fillId="5" borderId="0" pivotButton="0" quotePrefix="0" xfId="0"/>
    <xf numFmtId="165" fontId="6" fillId="4" borderId="0" pivotButton="0" quotePrefix="0" xfId="0"/>
    <xf numFmtId="9" fontId="6" fillId="5" borderId="0" pivotButton="0" quotePrefix="0" xfId="0"/>
    <xf numFmtId="9" fontId="6" fillId="4" borderId="0" pivotButton="0" quotePrefix="0" xfId="0"/>
    <xf numFmtId="2" fontId="6" fillId="5" borderId="0" pivotButton="0" quotePrefix="0" xfId="0"/>
    <xf numFmtId="164" fontId="6" fillId="6" borderId="0" pivotButton="0" quotePrefix="0" xfId="0"/>
    <xf numFmtId="165" fontId="6" fillId="6" borderId="0" pivotButton="0" quotePrefix="0" xfId="0"/>
    <xf numFmtId="164" fontId="5" fillId="7" borderId="0" pivotButton="0" quotePrefix="0" xfId="0"/>
    <xf numFmtId="164" fontId="5" fillId="4" borderId="0" pivotButton="0" quotePrefix="0" xfId="0"/>
    <xf numFmtId="10" fontId="6" fillId="0" borderId="0" pivotButton="0" quotePrefix="0" xfId="0"/>
    <xf numFmtId="0" fontId="5" fillId="8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3" customWidth="1" min="4" max="4"/>
    <col width="13" customWidth="1" min="5" max="5"/>
    <col width="10" customWidth="1" min="6" max="6"/>
    <col width="26" customWidth="1" min="7" max="7"/>
  </cols>
  <sheetData>
    <row r="1" ht="30" customHeight="1">
      <c r="A1" s="1" t="inlineStr">
        <is>
          <t>CALCULADORA EXPRESS · BOOTCAMP: TU PRIMER AIRBNB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Sofía Retif · Hosting Sin Propiedad</t>
        </is>
      </c>
      <c r="B2" s="2" t="n"/>
      <c r="C2" s="2" t="n"/>
      <c r="D2" s="2" t="n"/>
      <c r="E2" s="2" t="n"/>
      <c r="F2" s="2" t="n"/>
      <c r="G2" s="2" t="n"/>
    </row>
    <row r="3">
      <c r="A3" s="4" t="inlineStr">
        <is>
          <t>Llena solo las celdas en verde. Todo lo demás se calcula solo.</t>
        </is>
      </c>
    </row>
    <row r="4">
      <c r="A4" s="5" t="inlineStr">
        <is>
          <t>INGRESA LOS DATOS:</t>
        </is>
      </c>
      <c r="B4" s="6" t="n"/>
      <c r="C4" s="6" t="n"/>
      <c r="D4" s="6" t="n"/>
      <c r="E4" s="6" t="n"/>
      <c r="F4" s="6" t="n"/>
      <c r="G4" s="6" t="n"/>
    </row>
    <row r="5">
      <c r="B5" s="7" t="inlineStr">
        <is>
          <t>MXN</t>
        </is>
      </c>
      <c r="C5" s="8" t="inlineStr">
        <is>
          <t>DÓLARES</t>
        </is>
      </c>
    </row>
    <row r="6">
      <c r="A6" s="9" t="inlineStr">
        <is>
          <t>Renta mensual</t>
        </is>
      </c>
      <c r="B6" s="10" t="n">
        <v>18000</v>
      </c>
      <c r="C6" s="11">
        <f>B6/$B$21</f>
        <v/>
      </c>
      <c r="E6" s="9" t="inlineStr">
        <is>
          <t>Pesimista</t>
        </is>
      </c>
      <c r="F6" s="12" t="n">
        <v>0.45</v>
      </c>
      <c r="G6" s="4" t="inlineStr">
        <is>
          <t>Apenas cubres gastos</t>
        </is>
      </c>
    </row>
    <row r="7">
      <c r="A7" s="9" t="inlineStr">
        <is>
          <t>Servicios mensuales (luz, agua, internet)</t>
        </is>
      </c>
      <c r="B7" s="10" t="n">
        <v>1100</v>
      </c>
      <c r="C7" s="11">
        <f>B7/$B$21</f>
        <v/>
      </c>
      <c r="E7" s="9" t="inlineStr">
        <is>
          <t>Conservador</t>
        </is>
      </c>
      <c r="F7" s="12" t="n">
        <v>0.65</v>
      </c>
      <c r="G7" s="4" t="inlineStr">
        <is>
          <t>Margen saludable</t>
        </is>
      </c>
    </row>
    <row r="8">
      <c r="A8" s="9" t="inlineStr">
        <is>
          <t>Costo limpieza por estancia</t>
        </is>
      </c>
      <c r="B8" s="10" t="n">
        <v>350</v>
      </c>
      <c r="C8" s="11">
        <f>B8/$B$21</f>
        <v/>
      </c>
      <c r="E8" s="9" t="inlineStr">
        <is>
          <t>Optimista</t>
        </is>
      </c>
      <c r="F8" s="12" t="n">
        <v>0.85</v>
      </c>
      <c r="G8" s="4" t="inlineStr">
        <is>
          <t>Recuperación rápida de inversión</t>
        </is>
      </c>
    </row>
    <row r="9">
      <c r="A9" s="9" t="inlineStr">
        <is>
          <t>Duración promedio de estancia (noches)</t>
        </is>
      </c>
      <c r="B9" s="13" t="n">
        <v>3</v>
      </c>
      <c r="C9" s="14">
        <f>B9</f>
        <v/>
      </c>
    </row>
    <row r="10">
      <c r="A10" s="9" t="inlineStr">
        <is>
          <t>Otros gastos</t>
        </is>
      </c>
      <c r="B10" s="10" t="n">
        <v>3000</v>
      </c>
      <c r="C10" s="11">
        <f>B10/$B$21</f>
        <v/>
      </c>
    </row>
    <row r="11">
      <c r="A11" s="9" t="inlineStr">
        <is>
          <t>Precio promedio por noche</t>
        </is>
      </c>
      <c r="B11" s="10" t="n">
        <v>1500</v>
      </c>
      <c r="C11" s="11">
        <f>B11/$B$21</f>
        <v/>
      </c>
    </row>
    <row r="12">
      <c r="A12" s="9" t="inlineStr">
        <is>
          <t>Ocupación promedio (%)</t>
        </is>
      </c>
      <c r="B12" s="15" t="n">
        <v>0.85</v>
      </c>
      <c r="C12" s="16">
        <f>B12</f>
        <v/>
      </c>
    </row>
    <row r="21">
      <c r="A21" s="9" t="inlineStr">
        <is>
          <t>Tipo de cambio (MXN por USD)</t>
        </is>
      </c>
      <c r="B21" s="17" t="n">
        <v>17.3</v>
      </c>
    </row>
    <row r="22">
      <c r="A22" s="9" t="inlineStr">
        <is>
          <t>Comisión Airbnb (%)</t>
        </is>
      </c>
      <c r="B22" s="15" t="n">
        <v>0.1</v>
      </c>
    </row>
    <row r="24">
      <c r="A24" s="5" t="inlineStr">
        <is>
          <t>RESULTADOS (con la ocupación que pusiste arriba):</t>
        </is>
      </c>
      <c r="B24" s="6" t="n"/>
      <c r="C24" s="6" t="n"/>
      <c r="D24" s="6" t="n"/>
      <c r="E24" s="6" t="n"/>
      <c r="F24" s="6" t="n"/>
      <c r="G24" s="6" t="n"/>
    </row>
    <row r="25">
      <c r="A25" s="9" t="inlineStr">
        <is>
          <t>Ingreso mensual estimado</t>
        </is>
      </c>
      <c r="B25" s="18">
        <f>B11*30.4167*B12</f>
        <v/>
      </c>
      <c r="C25" s="11">
        <f>B25/$B$21</f>
        <v/>
      </c>
    </row>
    <row r="26">
      <c r="A26" s="9" t="inlineStr">
        <is>
          <t>Reservas estimadas al mes (calculado)</t>
        </is>
      </c>
      <c r="B26" s="19">
        <f>IFERROR(30.4167*B12/B9,0)</f>
        <v/>
      </c>
      <c r="C26" s="14">
        <f>B26</f>
        <v/>
      </c>
    </row>
    <row r="27">
      <c r="A27" s="9" t="inlineStr">
        <is>
          <t>Comisión Airbnb</t>
        </is>
      </c>
      <c r="B27" s="18">
        <f>B25*$B$22</f>
        <v/>
      </c>
      <c r="C27" s="11">
        <f>B27/$B$21</f>
        <v/>
      </c>
    </row>
    <row r="28">
      <c r="A28" s="9" t="inlineStr">
        <is>
          <t>Gasto total limpieza</t>
        </is>
      </c>
      <c r="B28" s="18">
        <f>B8*B26</f>
        <v/>
      </c>
      <c r="C28" s="11">
        <f>B28/$B$21</f>
        <v/>
      </c>
    </row>
    <row r="29">
      <c r="A29" s="9" t="inlineStr">
        <is>
          <t>Gastos totales</t>
        </is>
      </c>
      <c r="B29" s="18">
        <f>B28+B10+B7+B6+B27</f>
        <v/>
      </c>
      <c r="C29" s="11">
        <f>B29/$B$21</f>
        <v/>
      </c>
    </row>
    <row r="31">
      <c r="A31" s="7" t="inlineStr">
        <is>
          <t>UTILIDAD MENSUAL ESTIMADA</t>
        </is>
      </c>
      <c r="B31" s="20">
        <f>B25-B29</f>
        <v/>
      </c>
      <c r="C31" s="21">
        <f>B31/$B$21</f>
        <v/>
      </c>
    </row>
    <row r="32">
      <c r="A32" s="9" t="inlineStr">
        <is>
          <t>Margen sobre renta</t>
        </is>
      </c>
      <c r="B32" s="22">
        <f>IFERROR(B31/B6,0)</f>
        <v/>
      </c>
      <c r="C32" s="22">
        <f>IFERROR(C31/C6,0)</f>
        <v/>
      </c>
    </row>
    <row r="34">
      <c r="A34" s="4" t="inlineStr">
        <is>
          <t>Si te da 70% o más → es un modelo excelente.</t>
        </is>
      </c>
    </row>
    <row r="35">
      <c r="A35" s="4" t="inlineStr">
        <is>
          <t>Entre 30% y 70% → es un modelo bueno.</t>
        </is>
      </c>
    </row>
    <row r="36">
      <c r="A36" s="4" t="inlineStr">
        <is>
          <t>Si te da menos de 30% → es débil.</t>
        </is>
      </c>
    </row>
    <row r="38">
      <c r="A38" s="5" t="inlineStr">
        <is>
          <t>COMPARA LOS 3 ESCENARIOS</t>
        </is>
      </c>
      <c r="B38" s="6" t="n"/>
      <c r="C38" s="6" t="n"/>
      <c r="D38" s="6" t="n"/>
      <c r="E38" s="6" t="n"/>
      <c r="F38" s="6" t="n"/>
      <c r="G38" s="6" t="n"/>
    </row>
    <row r="39">
      <c r="A39" s="4" t="inlineStr">
        <is>
          <t>Mismo depa, misma renta — solo cambia cuánto se ocupa. Corre los 3 antes de decidir.</t>
        </is>
      </c>
    </row>
    <row r="41">
      <c r="B41" s="23" t="inlineStr"/>
      <c r="C41" s="23" t="inlineStr">
        <is>
          <t>Pesimista</t>
        </is>
      </c>
      <c r="D41" s="23" t="inlineStr">
        <is>
          <t>Conservador</t>
        </is>
      </c>
      <c r="E41" s="23" t="inlineStr">
        <is>
          <t>Optimista</t>
        </is>
      </c>
    </row>
    <row r="42">
      <c r="B42" s="9" t="inlineStr">
        <is>
          <t>Ocupación</t>
        </is>
      </c>
      <c r="C42" s="24">
        <f>F6</f>
        <v/>
      </c>
      <c r="D42" s="24">
        <f>F7</f>
        <v/>
      </c>
      <c r="E42" s="24">
        <f>F8</f>
        <v/>
      </c>
    </row>
    <row r="43">
      <c r="B43" s="9" t="inlineStr">
        <is>
          <t>Ingreso mensual estimado</t>
        </is>
      </c>
      <c r="C43" s="18">
        <f>$B$11*30.4167*F6</f>
        <v/>
      </c>
      <c r="D43" s="18">
        <f>$B$11*30.4167*F7</f>
        <v/>
      </c>
      <c r="E43" s="18">
        <f>$B$11*30.4167*F8</f>
        <v/>
      </c>
    </row>
    <row r="44">
      <c r="B44" s="9" t="inlineStr">
        <is>
          <t>Reservas estimadas al mes</t>
        </is>
      </c>
      <c r="C44" s="19">
        <f>IFERROR(30.4167*F6/$B$9,0)</f>
        <v/>
      </c>
      <c r="D44" s="19">
        <f>IFERROR(30.4167*F7/$B$9,0)</f>
        <v/>
      </c>
      <c r="E44" s="19">
        <f>IFERROR(30.4167*F8/$B$9,0)</f>
        <v/>
      </c>
    </row>
    <row r="45">
      <c r="B45" s="9" t="inlineStr">
        <is>
          <t>Comisión Airbnb</t>
        </is>
      </c>
      <c r="C45" s="18">
        <f>C43*$B$22</f>
        <v/>
      </c>
      <c r="D45" s="18">
        <f>D43*$B$22</f>
        <v/>
      </c>
      <c r="E45" s="18">
        <f>E43*$B$22</f>
        <v/>
      </c>
    </row>
    <row r="46">
      <c r="B46" s="9" t="inlineStr">
        <is>
          <t>Gasto total limpieza</t>
        </is>
      </c>
      <c r="C46" s="18">
        <f>$B$8*C44</f>
        <v/>
      </c>
      <c r="D46" s="18">
        <f>$B$8*D44</f>
        <v/>
      </c>
      <c r="E46" s="18">
        <f>$B$8*E44</f>
        <v/>
      </c>
    </row>
    <row r="47">
      <c r="B47" s="9" t="inlineStr">
        <is>
          <t>Gastos totales</t>
        </is>
      </c>
      <c r="C47" s="18">
        <f>C46+$B$10+$B$7+$B$6+C45</f>
        <v/>
      </c>
      <c r="D47" s="18">
        <f>D46+$B$10+$B$7+$B$6+D45</f>
        <v/>
      </c>
      <c r="E47" s="18">
        <f>E46+$B$10+$B$7+$B$6+E45</f>
        <v/>
      </c>
    </row>
    <row r="48">
      <c r="B48" s="7" t="inlineStr">
        <is>
          <t>UTILIDAD MENSUAL</t>
        </is>
      </c>
      <c r="C48" s="20">
        <f>C43-C47</f>
        <v/>
      </c>
      <c r="D48" s="20">
        <f>D43-D47</f>
        <v/>
      </c>
      <c r="E48" s="20">
        <f>E43-E47</f>
        <v/>
      </c>
    </row>
    <row r="49">
      <c r="B49" s="9" t="inlineStr">
        <is>
          <t>Margen sobre renta</t>
        </is>
      </c>
      <c r="C49" s="22">
        <f>IFERROR(C48/$B$6,0)</f>
        <v/>
      </c>
      <c r="D49" s="22">
        <f>IFERROR(D48/$B$6,0)</f>
        <v/>
      </c>
      <c r="E49" s="22">
        <f>IFERROR(E48/$B$6,0)</f>
        <v/>
      </c>
    </row>
    <row r="52" ht="22" customHeight="1">
      <c r="A52" s="25" t="inlineStr">
        <is>
          <t>© 2026 Sofía Retif · Hosting Sin Propiedad · @sofiahosting_ · @sofiahosting</t>
        </is>
      </c>
      <c r="B52" s="2" t="n"/>
      <c r="C52" s="2" t="n"/>
      <c r="D52" s="2" t="n"/>
      <c r="E52" s="2" t="n"/>
      <c r="F52" s="2" t="n"/>
      <c r="G52" s="2" t="n"/>
    </row>
  </sheetData>
  <mergeCells count="3">
    <mergeCell ref="A2:G2"/>
    <mergeCell ref="A1:G1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2026-08-07T04:36:35Z</dcterms:created>
  <dcterms:modified xmlns:dcterms="http://purl.org/dc/terms/" xmlns:xsi="http://www.w3.org/2001/XMLSchema-instance" xsi:type="dcterms:W3CDTF">2026-08-07T04:36:35Z</dcterms:modified>
</cp:coreProperties>
</file>