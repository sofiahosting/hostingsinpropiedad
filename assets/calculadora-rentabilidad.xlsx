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lculadora Airbnb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<sst xmlns="http://schemas.openxmlformats.org/spreadsheetml/2006/main" uniqueCount="38">
  <si>
    <t>CALCULADORA EXPRESS · BOOTCAMP: TU PRIMER AIRBNB</t>
  </si>
  <si>
    <t>Sofía Retif · Hosting Sin Propiedad</t>
  </si>
  <si>
    <t>Llena solo las celdas en verde. Todo lo demás se calcula solo.</t>
  </si>
  <si>
    <t>INGRESA LOS DATOS:</t>
  </si>
  <si>
    <t>MXN</t>
  </si>
  <si>
    <t>DÓLARES</t>
  </si>
  <si>
    <t>Renta mensual</t>
  </si>
  <si>
    <t>Pesimista</t>
  </si>
  <si>
    <t>Apenas cubres gastos</t>
  </si>
  <si>
    <t>Servicios mensuales (luz, agua, internet)</t>
  </si>
  <si>
    <t>Conservador</t>
  </si>
  <si>
    <t>Margen saludable</t>
  </si>
  <si>
    <t>Costo limpieza por estancia</t>
  </si>
  <si>
    <t>Optimista</t>
  </si>
  <si>
    <t>Recuperación rápida de inversión</t>
  </si>
  <si>
    <t>Duración promedio de estancia (noches)</t>
  </si>
  <si>
    <t>Otros gastos</t>
  </si>
  <si>
    <t>Precio promedio por noche</t>
  </si>
  <si>
    <t>Ocupación promedio (%)</t>
  </si>
  <si>
    <t>Tipo de cambio (MXN por USD)</t>
  </si>
  <si>
    <t>Comisión Airbnb (%)</t>
  </si>
  <si>
    <t>RESULTADOS (con la ocupación que pusiste arriba):</t>
  </si>
  <si>
    <t>Ingreso mensual estimado</t>
  </si>
  <si>
    <t>Reservas estimadas al mes (calculado)</t>
  </si>
  <si>
    <t>Comisión Airbnb</t>
  </si>
  <si>
    <t>Gasto total limpieza</t>
  </si>
  <si>
    <t>Gastos totales</t>
  </si>
  <si>
    <t>UTILIDAD MENSUAL ESTIMADA</t>
  </si>
  <si>
    <t>Margen sobre renta</t>
  </si>
  <si>
    <t>Si te da 70% o más → es un modelo excelente.</t>
  </si>
  <si>
    <t>Entre 30% y 70% → es un modelo bueno.</t>
  </si>
  <si>
    <t>Si te da menos de 30% → es débil.</t>
  </si>
  <si>
    <t>COMPARA LOS 3 ESCENARIOS</t>
  </si>
  <si>
    <t>Mismo depa, misma renta — solo cambia cuánto se ocupa. Corre los 3 antes de decidir.</t>
  </si>
  <si>
    <t>Ocupación</t>
  </si>
  <si>
    <t>Reservas estimadas al mes</t>
  </si>
  <si>
    <t>UTILIDAD MENSUAL</t>
  </si>
  <si>
    <t>© 2026 Sofía Retif · Hosting Sin Propiedad · @sofiahosting_ · @sofiahosting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</si>
</sst>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"/>
    <numFmt numFmtId="60" formatCode="0.0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5"/>
      <color indexed="9"/>
      <name val="Arial"/>
    </font>
    <font>
      <i val="1"/>
      <sz val="10"/>
      <color indexed="12"/>
      <name val="Arial"/>
    </font>
    <font>
      <i val="1"/>
      <sz val="9"/>
      <color indexed="13"/>
      <name val="Arial"/>
    </font>
    <font>
      <b val="1"/>
      <sz val="11"/>
      <color indexed="10"/>
      <name val="Arial"/>
    </font>
    <font>
      <b val="1"/>
      <sz val="11"/>
      <color indexed="8"/>
      <name val="Arial"/>
    </font>
    <font>
      <sz val="11"/>
      <color indexed="8"/>
      <name val="Arial"/>
    </font>
    <font>
      <sz val="9"/>
      <color indexed="12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horizontal="left" vertical="center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49" fontId="6" fillId="4" borderId="6" applyNumberFormat="1" applyFont="1" applyFill="1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49" fontId="7" fillId="3" borderId="6" applyNumberFormat="1" applyFont="1" applyFill="1" applyBorder="1" applyAlignment="1" applyProtection="0">
      <alignment vertical="bottom"/>
    </xf>
    <xf numFmtId="49" fontId="7" fillId="5" borderId="7" applyNumberFormat="1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49" fontId="8" fillId="3" borderId="11" applyNumberFormat="1" applyFont="1" applyFill="1" applyBorder="1" applyAlignment="1" applyProtection="0">
      <alignment vertical="bottom"/>
    </xf>
    <xf numFmtId="59" fontId="8" fillId="6" borderId="7" applyNumberFormat="1" applyFont="1" applyFill="1" applyBorder="1" applyAlignment="1" applyProtection="0">
      <alignment vertical="bottom"/>
    </xf>
    <xf numFmtId="59" fontId="8" fillId="5" borderId="7" applyNumberFormat="1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49" fontId="8" fillId="3" borderId="13" applyNumberFormat="1" applyFont="1" applyFill="1" applyBorder="1" applyAlignment="1" applyProtection="0">
      <alignment vertical="bottom"/>
    </xf>
    <xf numFmtId="9" fontId="8" fillId="3" borderId="13" applyNumberFormat="1" applyFont="1" applyFill="1" applyBorder="1" applyAlignment="1" applyProtection="0">
      <alignment vertical="bottom"/>
    </xf>
    <xf numFmtId="49" fontId="5" fillId="3" borderId="13" applyNumberFormat="1" applyFont="1" applyFill="1" applyBorder="1" applyAlignment="1" applyProtection="0">
      <alignment vertical="bottom"/>
    </xf>
    <xf numFmtId="60" fontId="8" fillId="6" borderId="7" applyNumberFormat="1" applyFont="1" applyFill="1" applyBorder="1" applyAlignment="1" applyProtection="0">
      <alignment vertical="bottom"/>
    </xf>
    <xf numFmtId="60" fontId="8" fillId="5" borderId="7" applyNumberFormat="1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9" fontId="8" fillId="6" borderId="7" applyNumberFormat="1" applyFont="1" applyFill="1" applyBorder="1" applyAlignment="1" applyProtection="0">
      <alignment vertical="bottom"/>
    </xf>
    <xf numFmtId="9" fontId="8" fillId="5" borderId="7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2" fontId="8" fillId="6" borderId="7" applyNumberFormat="1" applyFont="1" applyFill="1" applyBorder="1" applyAlignment="1" applyProtection="0">
      <alignment vertical="bottom"/>
    </xf>
    <xf numFmtId="49" fontId="8" fillId="3" borderId="14" applyNumberFormat="1" applyFont="1" applyFill="1" applyBorder="1" applyAlignment="1" applyProtection="0">
      <alignment vertical="bottom"/>
    </xf>
    <xf numFmtId="59" fontId="8" fillId="7" borderId="7" applyNumberFormat="1" applyFont="1" applyFill="1" applyBorder="1" applyAlignment="1" applyProtection="0">
      <alignment vertical="bottom"/>
    </xf>
    <xf numFmtId="60" fontId="8" fillId="7" borderId="7" applyNumberFormat="1" applyFont="1" applyFill="1" applyBorder="1" applyAlignment="1" applyProtection="0">
      <alignment vertical="bottom"/>
    </xf>
    <xf numFmtId="49" fontId="7" fillId="3" borderId="11" applyNumberFormat="1" applyFont="1" applyFill="1" applyBorder="1" applyAlignment="1" applyProtection="0">
      <alignment vertical="bottom"/>
    </xf>
    <xf numFmtId="59" fontId="7" fillId="3" borderId="7" applyNumberFormat="1" applyFont="1" applyFill="1" applyBorder="1" applyAlignment="1" applyProtection="0">
      <alignment vertical="bottom"/>
    </xf>
    <xf numFmtId="10" fontId="8" fillId="3" borderId="9" applyNumberFormat="1" applyFont="1" applyFill="1" applyBorder="1" applyAlignment="1" applyProtection="0">
      <alignment vertical="bottom"/>
    </xf>
    <xf numFmtId="49" fontId="5" fillId="3" borderId="9" applyNumberFormat="1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7" fillId="8" borderId="7" applyNumberFormat="0" applyFont="1" applyFill="1" applyBorder="1" applyAlignment="1" applyProtection="0">
      <alignment horizontal="center" vertical="bottom"/>
    </xf>
    <xf numFmtId="49" fontId="7" fillId="8" borderId="7" applyNumberFormat="1" applyFont="1" applyFill="1" applyBorder="1" applyAlignment="1" applyProtection="0">
      <alignment horizontal="center" vertical="bottom"/>
    </xf>
    <xf numFmtId="49" fontId="8" fillId="3" borderId="9" applyNumberFormat="1" applyFont="1" applyFill="1" applyBorder="1" applyAlignment="1" applyProtection="0">
      <alignment vertical="bottom"/>
    </xf>
    <xf numFmtId="9" fontId="8" fillId="3" borderId="5" applyNumberFormat="1" applyFont="1" applyFill="1" applyBorder="1" applyAlignment="1" applyProtection="0">
      <alignment horizontal="center" vertical="bottom"/>
    </xf>
    <xf numFmtId="49" fontId="9" fillId="2" borderId="9" applyNumberFormat="1" applyFont="1" applyFill="1" applyBorder="1" applyAlignment="1" applyProtection="0">
      <alignment horizontal="center" vertical="center"/>
    </xf>
    <xf numFmtId="0" fontId="0" fillId="3" borderId="14" applyNumberFormat="0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</cellXfs>
  <cellStyles count="1">
    <cellStyle name="Normal" xfId="0" builtinId="0"/>
  </cellStyles>
  <dxfs count="2">
    <dxf>
      <font>
        <b val="1"/>
        <color rgb="ff990000"/>
      </font>
      <fill>
        <patternFill patternType="solid">
          <fgColor indexed="18"/>
          <bgColor indexed="19"/>
        </patternFill>
      </fill>
    </dxf>
    <dxf>
      <font>
        <b val="1"/>
        <color rgb="ff274e13"/>
      </font>
      <fill>
        <patternFill patternType="solid">
          <fgColor indexed="18"/>
          <bgColor indexed="21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34b6b"/>
      <rgbColor rgb="ffaaaaaa"/>
      <rgbColor rgb="fff5efe4"/>
      <rgbColor rgb="ff6b6355"/>
      <rgbColor rgb="ffc8a96e"/>
      <rgbColor rgb="fff4cccc"/>
      <rgbColor rgb="ffd9ead3"/>
      <rgbColor rgb="fffff2cc"/>
      <rgbColor rgb="00000000"/>
      <rgbColor rgb="ffea9999"/>
      <rgbColor rgb="ff990000"/>
      <rgbColor rgb="ff93c47d"/>
      <rgbColor rgb="ff274e13"/>
      <rgbColor rgb="ffeaea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52"/>
  <sheetViews>
    <sheetView workbookViewId="0" showGridLines="0" defaultGridColor="1"/>
  </sheetViews>
  <sheetFormatPr defaultColWidth="8.83333" defaultRowHeight="15" customHeight="1" outlineLevelRow="0" outlineLevelCol="0"/>
  <cols>
    <col min="1" max="1" width="42" style="1" customWidth="1"/>
    <col min="2" max="3" width="14" style="1" customWidth="1"/>
    <col min="4" max="4" width="12.1719" style="1" customWidth="1"/>
    <col min="5" max="5" width="13" style="1" customWidth="1"/>
    <col min="6" max="6" width="10" style="1" customWidth="1"/>
    <col min="7" max="7" width="26" style="1" customWidth="1"/>
    <col min="8" max="16384" width="8.85156" style="1" customWidth="1"/>
  </cols>
  <sheetData>
    <row r="1" ht="30" customHeight="1">
      <c r="A1" t="s" s="2">
        <v>0</v>
      </c>
      <c r="B1" s="3"/>
      <c r="C1" s="4"/>
      <c r="D1" s="4"/>
      <c r="E1" s="4"/>
      <c r="F1" s="4"/>
      <c r="G1" s="5"/>
    </row>
    <row r="2" ht="13.65" customHeight="1">
      <c r="A2" t="s" s="6">
        <v>1</v>
      </c>
      <c r="B2" s="7"/>
      <c r="C2" s="8"/>
      <c r="D2" s="8"/>
      <c r="E2" s="8"/>
      <c r="F2" s="8"/>
      <c r="G2" s="9"/>
    </row>
    <row r="3" ht="13.55" customHeight="1">
      <c r="A3" t="s" s="10">
        <v>2</v>
      </c>
      <c r="B3" s="11"/>
      <c r="C3" s="11"/>
      <c r="D3" s="11"/>
      <c r="E3" s="11"/>
      <c r="F3" s="11"/>
      <c r="G3" s="11"/>
    </row>
    <row r="4" ht="14.6" customHeight="1">
      <c r="A4" t="s" s="12">
        <v>3</v>
      </c>
      <c r="B4" s="13"/>
      <c r="C4" s="13"/>
      <c r="D4" s="13"/>
      <c r="E4" s="13"/>
      <c r="F4" s="13"/>
      <c r="G4" s="14"/>
    </row>
    <row r="5" ht="14.6" customHeight="1">
      <c r="A5" s="15"/>
      <c r="B5" t="s" s="16">
        <v>4</v>
      </c>
      <c r="C5" t="s" s="17">
        <v>5</v>
      </c>
      <c r="D5" s="18"/>
      <c r="E5" s="15"/>
      <c r="F5" s="15"/>
      <c r="G5" s="15"/>
    </row>
    <row r="6" ht="14.6" customHeight="1">
      <c r="A6" t="s" s="19">
        <v>6</v>
      </c>
      <c r="B6" s="20">
        <v>18000</v>
      </c>
      <c r="C6" s="21" cm="1">
        <f t="array" ref="C6">B6/$B$21</f>
        <v>1040.462427745660</v>
      </c>
      <c r="D6" s="22"/>
      <c r="E6" t="s" s="23">
        <v>7</v>
      </c>
      <c r="F6" s="24">
        <v>0.45</v>
      </c>
      <c r="G6" t="s" s="25">
        <v>8</v>
      </c>
    </row>
    <row r="7" ht="14.6" customHeight="1">
      <c r="A7" t="s" s="19">
        <v>9</v>
      </c>
      <c r="B7" s="20">
        <v>1100</v>
      </c>
      <c r="C7" s="21" cm="1">
        <f t="array" ref="C7">B7/$B$21</f>
        <v>63.5838150289017</v>
      </c>
      <c r="D7" s="22"/>
      <c r="E7" t="s" s="23">
        <v>10</v>
      </c>
      <c r="F7" s="24">
        <v>0.65</v>
      </c>
      <c r="G7" t="s" s="25">
        <v>11</v>
      </c>
    </row>
    <row r="8" ht="14.6" customHeight="1">
      <c r="A8" t="s" s="19">
        <v>12</v>
      </c>
      <c r="B8" s="20">
        <v>350</v>
      </c>
      <c r="C8" s="21" cm="1">
        <f t="array" ref="C8">B8/$B$21</f>
        <v>20.2312138728324</v>
      </c>
      <c r="D8" s="22"/>
      <c r="E8" t="s" s="23">
        <v>13</v>
      </c>
      <c r="F8" s="24">
        <v>0.85</v>
      </c>
      <c r="G8" t="s" s="25">
        <v>14</v>
      </c>
    </row>
    <row r="9" ht="14.6" customHeight="1">
      <c r="A9" t="s" s="19">
        <v>15</v>
      </c>
      <c r="B9" s="26">
        <v>3</v>
      </c>
      <c r="C9" s="27" cm="1">
        <f t="array" ref="C9">B9</f>
        <v>3</v>
      </c>
      <c r="D9" s="22"/>
      <c r="E9" s="28"/>
      <c r="F9" s="28"/>
      <c r="G9" s="28"/>
    </row>
    <row r="10" ht="14.6" customHeight="1">
      <c r="A10" t="s" s="19">
        <v>16</v>
      </c>
      <c r="B10" s="20">
        <v>3000</v>
      </c>
      <c r="C10" s="21" cm="1">
        <f t="array" ref="C10">B10/$B$21</f>
        <v>173.410404624277</v>
      </c>
      <c r="D10" s="22"/>
      <c r="E10" s="28"/>
      <c r="F10" s="28"/>
      <c r="G10" s="28"/>
    </row>
    <row r="11" ht="14.6" customHeight="1">
      <c r="A11" t="s" s="19">
        <v>17</v>
      </c>
      <c r="B11" s="20">
        <v>1500</v>
      </c>
      <c r="C11" s="21" cm="1">
        <f t="array" ref="C11">B11/$B$21</f>
        <v>86.7052023121387</v>
      </c>
      <c r="D11" s="22"/>
      <c r="E11" s="28"/>
      <c r="F11" s="28"/>
      <c r="G11" s="28"/>
    </row>
    <row r="12" ht="14.6" customHeight="1">
      <c r="A12" t="s" s="19">
        <v>18</v>
      </c>
      <c r="B12" s="29">
        <v>0.85</v>
      </c>
      <c r="C12" s="30" cm="1">
        <f t="array" ref="C12">B12</f>
        <v>0.85</v>
      </c>
      <c r="D12" s="22"/>
      <c r="E12" s="28"/>
      <c r="F12" s="28"/>
      <c r="G12" s="28"/>
    </row>
    <row r="13" ht="13.55" customHeight="1">
      <c r="A13" s="28"/>
      <c r="B13" s="15"/>
      <c r="C13" s="15"/>
      <c r="D13" s="28"/>
      <c r="E13" s="28"/>
      <c r="F13" s="28"/>
      <c r="G13" s="28"/>
    </row>
    <row r="14" ht="13.55" customHeight="1">
      <c r="A14" s="28"/>
      <c r="B14" s="28"/>
      <c r="C14" s="28"/>
      <c r="D14" s="28"/>
      <c r="E14" s="28"/>
      <c r="F14" s="28"/>
      <c r="G14" s="28"/>
    </row>
    <row r="15" ht="13.55" customHeight="1">
      <c r="A15" s="28"/>
      <c r="B15" s="28"/>
      <c r="C15" s="28"/>
      <c r="D15" s="28"/>
      <c r="E15" s="28"/>
      <c r="F15" s="28"/>
      <c r="G15" s="28"/>
    </row>
    <row r="16" ht="13.55" customHeight="1">
      <c r="A16" s="28"/>
      <c r="B16" s="28"/>
      <c r="C16" s="28"/>
      <c r="D16" s="28"/>
      <c r="E16" s="28"/>
      <c r="F16" s="28"/>
      <c r="G16" s="28"/>
    </row>
    <row r="17" ht="13.55" customHeight="1">
      <c r="A17" s="28"/>
      <c r="B17" s="28"/>
      <c r="C17" s="28"/>
      <c r="D17" s="28"/>
      <c r="E17" s="28"/>
      <c r="F17" s="28"/>
      <c r="G17" s="28"/>
    </row>
    <row r="18" ht="13.55" customHeight="1">
      <c r="A18" s="28"/>
      <c r="B18" s="28"/>
      <c r="C18" s="28"/>
      <c r="D18" s="28"/>
      <c r="E18" s="28"/>
      <c r="F18" s="28"/>
      <c r="G18" s="28"/>
    </row>
    <row r="19" ht="13.55" customHeight="1">
      <c r="A19" s="28"/>
      <c r="B19" s="28"/>
      <c r="C19" s="28"/>
      <c r="D19" s="28"/>
      <c r="E19" s="28"/>
      <c r="F19" s="28"/>
      <c r="G19" s="28"/>
    </row>
    <row r="20" ht="13.55" customHeight="1">
      <c r="A20" s="28"/>
      <c r="B20" s="31"/>
      <c r="C20" s="28"/>
      <c r="D20" s="28"/>
      <c r="E20" s="28"/>
      <c r="F20" s="28"/>
      <c r="G20" s="28"/>
    </row>
    <row r="21" ht="14.6" customHeight="1">
      <c r="A21" t="s" s="19">
        <v>19</v>
      </c>
      <c r="B21" s="32">
        <v>17.3</v>
      </c>
      <c r="C21" s="22"/>
      <c r="D21" s="28"/>
      <c r="E21" s="28"/>
      <c r="F21" s="28"/>
      <c r="G21" s="28"/>
    </row>
    <row r="22" ht="14.6" customHeight="1">
      <c r="A22" t="s" s="19">
        <v>20</v>
      </c>
      <c r="B22" s="29">
        <v>0.1</v>
      </c>
      <c r="C22" s="22"/>
      <c r="D22" s="28"/>
      <c r="E22" s="28"/>
      <c r="F22" s="28"/>
      <c r="G22" s="28"/>
    </row>
    <row r="23" ht="13.55" customHeight="1">
      <c r="A23" s="31"/>
      <c r="B23" s="11"/>
      <c r="C23" s="31"/>
      <c r="D23" s="31"/>
      <c r="E23" s="31"/>
      <c r="F23" s="31"/>
      <c r="G23" s="31"/>
    </row>
    <row r="24" ht="14.6" customHeight="1">
      <c r="A24" t="s" s="12">
        <v>21</v>
      </c>
      <c r="B24" s="13"/>
      <c r="C24" s="13"/>
      <c r="D24" s="13"/>
      <c r="E24" s="13"/>
      <c r="F24" s="13"/>
      <c r="G24" s="14"/>
    </row>
    <row r="25" ht="14.6" customHeight="1">
      <c r="A25" t="s" s="33">
        <v>22</v>
      </c>
      <c r="B25" s="34" cm="1">
        <f t="array" ref="B25">B11*30.4167*B12</f>
        <v>38781.2925</v>
      </c>
      <c r="C25" s="21" cm="1">
        <f t="array" ref="C25">B25/$B$21</f>
        <v>2241.693208092490</v>
      </c>
      <c r="D25" s="18"/>
      <c r="E25" s="15"/>
      <c r="F25" s="15"/>
      <c r="G25" s="15"/>
    </row>
    <row r="26" ht="14.6" customHeight="1">
      <c r="A26" t="s" s="19">
        <v>23</v>
      </c>
      <c r="B26" s="35" cm="1">
        <f t="array" ref="B26">_xlfn.IFERROR(30.4167*B12/B9,0)</f>
        <v>8.618065</v>
      </c>
      <c r="C26" s="27" cm="1">
        <f t="array" ref="C26">B26</f>
        <v>8.618065</v>
      </c>
      <c r="D26" s="22"/>
      <c r="E26" s="28"/>
      <c r="F26" s="28"/>
      <c r="G26" s="28"/>
    </row>
    <row r="27" ht="14.6" customHeight="1">
      <c r="A27" t="s" s="19">
        <v>24</v>
      </c>
      <c r="B27" s="34" cm="1">
        <f t="array" ref="B27">B25*$B$22</f>
        <v>3878.12925</v>
      </c>
      <c r="C27" s="21" cm="1">
        <f t="array" ref="C27">B27/$B$21</f>
        <v>224.169320809249</v>
      </c>
      <c r="D27" s="22"/>
      <c r="E27" s="28"/>
      <c r="F27" s="28"/>
      <c r="G27" s="28"/>
    </row>
    <row r="28" ht="14.6" customHeight="1">
      <c r="A28" t="s" s="19">
        <v>25</v>
      </c>
      <c r="B28" s="34" cm="1">
        <f t="array" ref="B28">B8*B26</f>
        <v>3016.32275</v>
      </c>
      <c r="C28" s="21" cm="1">
        <f t="array" ref="C28">B28/$B$21</f>
        <v>174.353916184971</v>
      </c>
      <c r="D28" s="22"/>
      <c r="E28" s="28"/>
      <c r="F28" s="28"/>
      <c r="G28" s="28"/>
    </row>
    <row r="29" ht="14.6" customHeight="1">
      <c r="A29" t="s" s="19">
        <v>26</v>
      </c>
      <c r="B29" s="34" cm="1">
        <f t="array" ref="B29">B28+B10+B7+B6+B27</f>
        <v>28994.452</v>
      </c>
      <c r="C29" s="21" cm="1">
        <f t="array" ref="C29">B29/$B$21</f>
        <v>1675.979884393060</v>
      </c>
      <c r="D29" s="22"/>
      <c r="E29" s="28"/>
      <c r="F29" s="28"/>
      <c r="G29" s="28"/>
    </row>
    <row r="30" ht="13.55" customHeight="1">
      <c r="A30" s="28"/>
      <c r="B30" s="11"/>
      <c r="C30" s="11"/>
      <c r="D30" s="28"/>
      <c r="E30" s="28"/>
      <c r="F30" s="28"/>
      <c r="G30" s="28"/>
    </row>
    <row r="31" ht="14.6" customHeight="1">
      <c r="A31" t="s" s="36">
        <v>27</v>
      </c>
      <c r="B31" s="37" cm="1">
        <f t="array" ref="B31">B25-B29</f>
        <v>9786.8405</v>
      </c>
      <c r="C31" s="37" cm="1">
        <f t="array" ref="C31">B31/$B$21</f>
        <v>565.7133236994219</v>
      </c>
      <c r="D31" s="22"/>
      <c r="E31" s="28"/>
      <c r="F31" s="28"/>
      <c r="G31" s="28"/>
    </row>
    <row r="32" ht="14.6" customHeight="1">
      <c r="A32" t="s" s="23">
        <v>28</v>
      </c>
      <c r="B32" s="38" cm="1">
        <f t="array" ref="B32">_xlfn.IFERROR(B31/B6,0)</f>
        <v>0.543713361111111</v>
      </c>
      <c r="C32" s="38" cm="1">
        <f t="array" ref="C32">_xlfn.IFERROR(C31/C6,0)</f>
        <v>0.543713361111114</v>
      </c>
      <c r="D32" s="28"/>
      <c r="E32" s="28"/>
      <c r="F32" s="28"/>
      <c r="G32" s="28"/>
    </row>
    <row r="33" ht="13.55" customHeight="1">
      <c r="A33" s="28"/>
      <c r="B33" s="28"/>
      <c r="C33" s="28"/>
      <c r="D33" s="28"/>
      <c r="E33" s="28"/>
      <c r="F33" s="28"/>
      <c r="G33" s="28"/>
    </row>
    <row r="34" ht="13.55" customHeight="1">
      <c r="A34" t="s" s="25">
        <v>29</v>
      </c>
      <c r="B34" s="28"/>
      <c r="C34" s="28"/>
      <c r="D34" s="28"/>
      <c r="E34" s="28"/>
      <c r="F34" s="28"/>
      <c r="G34" s="28"/>
    </row>
    <row r="35" ht="13.55" customHeight="1">
      <c r="A35" t="s" s="25">
        <v>30</v>
      </c>
      <c r="B35" s="28"/>
      <c r="C35" s="28"/>
      <c r="D35" s="28"/>
      <c r="E35" s="28"/>
      <c r="F35" s="28"/>
      <c r="G35" s="28"/>
    </row>
    <row r="36" ht="13.55" customHeight="1">
      <c r="A36" t="s" s="25">
        <v>31</v>
      </c>
      <c r="B36" s="28"/>
      <c r="C36" s="28"/>
      <c r="D36" s="28"/>
      <c r="E36" s="28"/>
      <c r="F36" s="28"/>
      <c r="G36" s="28"/>
    </row>
    <row r="37" ht="13.55" customHeight="1">
      <c r="A37" s="31"/>
      <c r="B37" s="31"/>
      <c r="C37" s="31"/>
      <c r="D37" s="31"/>
      <c r="E37" s="31"/>
      <c r="F37" s="31"/>
      <c r="G37" s="31"/>
    </row>
    <row r="38" ht="14.6" customHeight="1">
      <c r="A38" t="s" s="12">
        <v>32</v>
      </c>
      <c r="B38" s="13"/>
      <c r="C38" s="13"/>
      <c r="D38" s="13"/>
      <c r="E38" s="13"/>
      <c r="F38" s="13"/>
      <c r="G38" s="14"/>
    </row>
    <row r="39" ht="13.55" customHeight="1">
      <c r="A39" t="s" s="39">
        <v>33</v>
      </c>
      <c r="B39" s="15"/>
      <c r="C39" s="15"/>
      <c r="D39" s="15"/>
      <c r="E39" s="15"/>
      <c r="F39" s="15"/>
      <c r="G39" s="15"/>
    </row>
    <row r="40" ht="13.55" customHeight="1">
      <c r="A40" s="28"/>
      <c r="B40" s="31"/>
      <c r="C40" s="31"/>
      <c r="D40" s="31"/>
      <c r="E40" s="31"/>
      <c r="F40" s="28"/>
      <c r="G40" s="28"/>
    </row>
    <row r="41" ht="14.6" customHeight="1">
      <c r="A41" s="40"/>
      <c r="B41" s="41"/>
      <c r="C41" t="s" s="42">
        <v>7</v>
      </c>
      <c r="D41" t="s" s="42">
        <v>10</v>
      </c>
      <c r="E41" t="s" s="42">
        <v>13</v>
      </c>
      <c r="F41" s="22"/>
      <c r="G41" s="28"/>
    </row>
    <row r="42" ht="14.6" customHeight="1">
      <c r="A42" s="28"/>
      <c r="B42" t="s" s="43">
        <v>34</v>
      </c>
      <c r="C42" s="44" cm="1">
        <f t="array" ref="C42">F6</f>
        <v>0.45</v>
      </c>
      <c r="D42" s="44" cm="1">
        <f t="array" ref="D42">F7</f>
        <v>0.65</v>
      </c>
      <c r="E42" s="44" cm="1">
        <f t="array" ref="E42">F8</f>
        <v>0.85</v>
      </c>
      <c r="F42" s="28"/>
      <c r="G42" s="28"/>
    </row>
    <row r="43" ht="14.6" customHeight="1">
      <c r="A43" s="28"/>
      <c r="B43" t="s" s="19">
        <v>22</v>
      </c>
      <c r="C43" s="34" cm="1">
        <f t="array" ref="C43">$B$11*30.4167*F6</f>
        <v>20531.2725</v>
      </c>
      <c r="D43" s="34" cm="1">
        <f t="array" ref="D43">$B$11*30.4167*F7</f>
        <v>29656.2825</v>
      </c>
      <c r="E43" s="34" cm="1">
        <f t="array" ref="E43">$B$11*30.4167*F8</f>
        <v>38781.2925</v>
      </c>
      <c r="F43" s="22"/>
      <c r="G43" s="28"/>
    </row>
    <row r="44" ht="14.6" customHeight="1">
      <c r="A44" s="28"/>
      <c r="B44" t="s" s="19">
        <v>35</v>
      </c>
      <c r="C44" s="35" cm="1">
        <f t="array" ref="C44">_xlfn.IFERROR(30.4167*F6/$B$9,0)</f>
        <v>4.562505</v>
      </c>
      <c r="D44" s="35" cm="1">
        <f t="array" ref="D44">_xlfn.IFERROR(30.4167*F7/$B$9,0)</f>
        <v>6.590285</v>
      </c>
      <c r="E44" s="35" cm="1">
        <f t="array" ref="E44">_xlfn.IFERROR(30.4167*F8/$B$9,0)</f>
        <v>8.618065</v>
      </c>
      <c r="F44" s="22"/>
      <c r="G44" s="28"/>
    </row>
    <row r="45" ht="14.6" customHeight="1">
      <c r="A45" s="28"/>
      <c r="B45" t="s" s="19">
        <v>24</v>
      </c>
      <c r="C45" s="34" cm="1">
        <f t="array" ref="C45">C43*$B$22</f>
        <v>2053.12725</v>
      </c>
      <c r="D45" s="34" cm="1">
        <f t="array" ref="D45">D43*$B$22</f>
        <v>2965.62825</v>
      </c>
      <c r="E45" s="34" cm="1">
        <f t="array" ref="E45">E43*$B$22</f>
        <v>3878.12925</v>
      </c>
      <c r="F45" s="22"/>
      <c r="G45" s="28"/>
    </row>
    <row r="46" ht="14.6" customHeight="1">
      <c r="A46" s="28"/>
      <c r="B46" t="s" s="19">
        <v>25</v>
      </c>
      <c r="C46" s="34" cm="1">
        <f t="array" ref="C46">$B$8*C44</f>
        <v>1596.87675</v>
      </c>
      <c r="D46" s="34" cm="1">
        <f t="array" ref="D46">$B$8*D44</f>
        <v>2306.59975</v>
      </c>
      <c r="E46" s="34" cm="1">
        <f t="array" ref="E46">$B$8*E44</f>
        <v>3016.32275</v>
      </c>
      <c r="F46" s="22"/>
      <c r="G46" s="28"/>
    </row>
    <row r="47" ht="14.6" customHeight="1">
      <c r="A47" s="28"/>
      <c r="B47" t="s" s="19">
        <v>26</v>
      </c>
      <c r="C47" s="34" cm="1">
        <f t="array" ref="C47">C46+$B$10+$B$7+$B$6+C45</f>
        <v>25750.004</v>
      </c>
      <c r="D47" s="34" cm="1">
        <f t="array" ref="D47">D46+$B$10+$B$7+$B$6+D45</f>
        <v>27372.228</v>
      </c>
      <c r="E47" s="34" cm="1">
        <f t="array" ref="E47">E46+$B$10+$B$7+$B$6+E45</f>
        <v>28994.452</v>
      </c>
      <c r="F47" s="22"/>
      <c r="G47" s="28"/>
    </row>
    <row r="48" ht="14.6" customHeight="1">
      <c r="A48" s="28"/>
      <c r="B48" t="s" s="36">
        <v>36</v>
      </c>
      <c r="C48" s="37" cm="1">
        <f t="array" ref="C48">C43-C47</f>
        <v>-5218.7315</v>
      </c>
      <c r="D48" s="37" cm="1">
        <f t="array" ref="D48">D43-D47</f>
        <v>2284.0545</v>
      </c>
      <c r="E48" s="37" cm="1">
        <f t="array" ref="E48">E43-E47</f>
        <v>9786.8405</v>
      </c>
      <c r="F48" s="22"/>
      <c r="G48" s="28"/>
    </row>
    <row r="49" ht="14.6" customHeight="1">
      <c r="A49" s="28"/>
      <c r="B49" t="s" s="23">
        <v>28</v>
      </c>
      <c r="C49" s="38" cm="1">
        <f t="array" ref="C49">_xlfn.IFERROR(C48/$B$6,0)</f>
        <v>-0.289929527777778</v>
      </c>
      <c r="D49" s="38" cm="1">
        <f t="array" ref="D49">_xlfn.IFERROR(D48/$B$6,0)</f>
        <v>0.126891916666667</v>
      </c>
      <c r="E49" s="38" cm="1">
        <f t="array" ref="E49">_xlfn.IFERROR(E48/$B$6,0)</f>
        <v>0.543713361111111</v>
      </c>
      <c r="F49" s="28"/>
      <c r="G49" s="28"/>
    </row>
    <row r="50" ht="13.55" customHeight="1">
      <c r="A50" s="28"/>
      <c r="B50" s="28"/>
      <c r="C50" s="28"/>
      <c r="D50" s="28"/>
      <c r="E50" s="28"/>
      <c r="F50" s="28"/>
      <c r="G50" s="28"/>
    </row>
    <row r="51" ht="13.55" customHeight="1">
      <c r="A51" s="31"/>
      <c r="B51" s="31"/>
      <c r="C51" s="31"/>
      <c r="D51" s="31"/>
      <c r="E51" s="31"/>
      <c r="F51" s="31"/>
      <c r="G51" s="31"/>
    </row>
    <row r="52" ht="22" customHeight="1">
      <c r="A52" t="s" s="45">
        <v>37</v>
      </c>
      <c r="B52" s="46"/>
      <c r="C52" s="47"/>
      <c r="D52" s="47"/>
      <c r="E52" s="47"/>
      <c r="F52" s="47"/>
      <c r="G52" s="18"/>
    </row>
  </sheetData>
  <mergeCells count="3">
    <mergeCell ref="A2:G2"/>
    <mergeCell ref="A1:G1"/>
    <mergeCell ref="A52:G52"/>
  </mergeCells>
  <conditionalFormatting sqref="B31:C31 C48:E48">
    <cfRule type="cellIs" dxfId="0" priority="1" operator="lessThan" stopIfTrue="1">
      <formula>0</formula>
    </cfRule>
    <cfRule type="cellIs" dxfId="1" priority="2" operator="greaterThanOrEqual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